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thon\Coding Through Football\V2- KMeans Cluster\"/>
    </mc:Choice>
  </mc:AlternateContent>
  <xr:revisionPtr revIDLastSave="0" documentId="13_ncr:1_{112F7677-A020-4370-A5E9-43BD14200BBD}" xr6:coauthVersionLast="47" xr6:coauthVersionMax="47" xr10:uidLastSave="{00000000-0000-0000-0000-000000000000}"/>
  <bookViews>
    <workbookView xWindow="-120" yWindow="-120" windowWidth="20640" windowHeight="11040" xr2:uid="{AFC44675-9EB2-4D18-849A-14814F319C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</calcChain>
</file>

<file path=xl/sharedStrings.xml><?xml version="1.0" encoding="utf-8"?>
<sst xmlns="http://schemas.openxmlformats.org/spreadsheetml/2006/main" count="68" uniqueCount="68">
  <si>
    <t># Pl</t>
  </si>
  <si>
    <t>90s</t>
  </si>
  <si>
    <t>Gls</t>
  </si>
  <si>
    <t>Sh</t>
  </si>
  <si>
    <t>SoT</t>
  </si>
  <si>
    <t>SoT%</t>
  </si>
  <si>
    <t>Sh/90</t>
  </si>
  <si>
    <t>SoT/90</t>
  </si>
  <si>
    <t>G/Sh</t>
  </si>
  <si>
    <t>G/SoT</t>
  </si>
  <si>
    <t>PK</t>
  </si>
  <si>
    <t>PKatt</t>
  </si>
  <si>
    <t>Team</t>
  </si>
  <si>
    <t>Albania</t>
  </si>
  <si>
    <t>Andorra</t>
  </si>
  <si>
    <t>Armenia</t>
  </si>
  <si>
    <t>Austria</t>
  </si>
  <si>
    <t>Azerbaijan</t>
  </si>
  <si>
    <t>Belarus</t>
  </si>
  <si>
    <t>Belgium</t>
  </si>
  <si>
    <t>Bulgaria</t>
  </si>
  <si>
    <t>Croatia</t>
  </si>
  <si>
    <t>Cyprus</t>
  </si>
  <si>
    <t>Czechia</t>
  </si>
  <si>
    <t>Denmark</t>
  </si>
  <si>
    <t>England</t>
  </si>
  <si>
    <t>Estonia</t>
  </si>
  <si>
    <t>Finland</t>
  </si>
  <si>
    <t>France</t>
  </si>
  <si>
    <t>Georgia</t>
  </si>
  <si>
    <t>Germany</t>
  </si>
  <si>
    <t>Gibraltar</t>
  </si>
  <si>
    <t>Greece</t>
  </si>
  <si>
    <t>Hungary</t>
  </si>
  <si>
    <t>Iceland</t>
  </si>
  <si>
    <t>Israel</t>
  </si>
  <si>
    <t>Italy</t>
  </si>
  <si>
    <t>Kazakhstan</t>
  </si>
  <si>
    <t>Kosovo</t>
  </si>
  <si>
    <t>Latvia</t>
  </si>
  <si>
    <t>Liechtenstein</t>
  </si>
  <si>
    <t>Lithuania</t>
  </si>
  <si>
    <t>Luxembourg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</si>
  <si>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</si>
  <si>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</si>
  <si>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</si>
  <si>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</si>
  <si>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</si>
  <si>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</si>
  <si>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</si>
  <si>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</si>
  <si>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Scotland</t>
  </si>
  <si>
    <t>Serbia</t>
  </si>
  <si>
    <t>Slovakia</t>
  </si>
  <si>
    <t>Slovenia</t>
  </si>
  <si>
    <t>Spain</t>
  </si>
  <si>
    <t>Sweden</t>
  </si>
  <si>
    <t>Switzerland</t>
  </si>
  <si>
    <t>Türkiye</t>
  </si>
  <si>
    <t>Ukraine</t>
  </si>
  <si>
    <t>Wales</t>
  </si>
  <si>
    <t>N. Macedonia</t>
  </si>
  <si>
    <t>San Marino</t>
  </si>
  <si>
    <t>G/90</t>
  </si>
  <si>
    <t>Bosnia</t>
  </si>
  <si>
    <t>Faroe Is.</t>
  </si>
  <si>
    <t>N. Ireland</t>
  </si>
  <si>
    <t>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</si>
</sst>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3" fillId="4" borderId="0" xfId="1" applyFill="1" applyBorder="1" applyAlignment="1">
      <alignment horizontal="left" vertical="center"/>
    </xf>
    <xf numFmtId="0" fontId="3" fillId="2" borderId="0" xfId="1" applyFill="1" applyBorder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1" fillId="3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2" fontId="2" fillId="4" borderId="0" xfId="0" applyNumberFormat="1" applyFont="1" applyFill="1" applyAlignment="1">
      <alignment horizontal="right" vertical="center"/>
    </xf>
    <xf numFmtId="2" fontId="0" fillId="0" borderId="0" xfId="0" applyNumberFormat="1"/>
  </cellXfs>
  <cellStyles count="2">
    <cellStyle name="Hyperlink" xfId="1" builtinId="8"/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</dxf>
    <dxf>
      <border outline="0">
        <top style="medium">
          <color rgb="FF747678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6"/>
        <color rgb="FF000000"/>
        <name val="Verdana"/>
        <family val="2"/>
        <scheme val="none"/>
      </font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6"/>
        <color rgb="FF990000"/>
        <name val="Verdana"/>
        <family val="2"/>
        <scheme val="none"/>
      </font>
      <fill>
        <patternFill patternType="solid">
          <fgColor indexed="64"/>
          <bgColor rgb="FFEEEEEE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DDDDDD"/>
        </left>
        <right style="medium">
          <color rgb="FFDDDDDD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SoT/90 vs G/SoT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G/SoT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Sheet1!$I$2:$I$55</c:f>
              <c:numCache>
                <c:formatCode>General</c:formatCode>
                <c:ptCount val="54"/>
                <c:pt idx="0">
                  <c:v>3.12</c:v>
                </c:pt>
                <c:pt idx="1">
                  <c:v>0.75</c:v>
                </c:pt>
                <c:pt idx="2">
                  <c:v>2.83</c:v>
                </c:pt>
                <c:pt idx="3">
                  <c:v>6.75</c:v>
                </c:pt>
                <c:pt idx="4">
                  <c:v>1</c:v>
                </c:pt>
                <c:pt idx="5">
                  <c:v>2.5</c:v>
                </c:pt>
                <c:pt idx="6">
                  <c:v>8</c:v>
                </c:pt>
                <c:pt idx="7">
                  <c:v>4.5</c:v>
                </c:pt>
                <c:pt idx="8">
                  <c:v>1.5</c:v>
                </c:pt>
                <c:pt idx="9">
                  <c:v>8.5</c:v>
                </c:pt>
                <c:pt idx="10">
                  <c:v>4.87</c:v>
                </c:pt>
                <c:pt idx="11">
                  <c:v>6.62</c:v>
                </c:pt>
                <c:pt idx="12">
                  <c:v>7</c:v>
                </c:pt>
                <c:pt idx="13">
                  <c:v>7.88</c:v>
                </c:pt>
                <c:pt idx="14">
                  <c:v>3</c:v>
                </c:pt>
                <c:pt idx="15">
                  <c:v>4</c:v>
                </c:pt>
                <c:pt idx="16">
                  <c:v>4.25</c:v>
                </c:pt>
                <c:pt idx="17">
                  <c:v>7.67</c:v>
                </c:pt>
                <c:pt idx="18">
                  <c:v>3</c:v>
                </c:pt>
                <c:pt idx="19">
                  <c:v>6.17</c:v>
                </c:pt>
                <c:pt idx="20">
                  <c:v>0.75</c:v>
                </c:pt>
                <c:pt idx="21">
                  <c:v>6</c:v>
                </c:pt>
                <c:pt idx="22">
                  <c:v>4.83</c:v>
                </c:pt>
                <c:pt idx="23">
                  <c:v>4.17</c:v>
                </c:pt>
                <c:pt idx="24">
                  <c:v>6.5</c:v>
                </c:pt>
                <c:pt idx="25">
                  <c:v>7</c:v>
                </c:pt>
                <c:pt idx="26">
                  <c:v>4</c:v>
                </c:pt>
                <c:pt idx="27">
                  <c:v>3.33</c:v>
                </c:pt>
                <c:pt idx="28">
                  <c:v>2.25</c:v>
                </c:pt>
                <c:pt idx="29">
                  <c:v>0.87</c:v>
                </c:pt>
                <c:pt idx="30">
                  <c:v>2.75</c:v>
                </c:pt>
                <c:pt idx="31">
                  <c:v>2.33</c:v>
                </c:pt>
                <c:pt idx="32">
                  <c:v>3</c:v>
                </c:pt>
                <c:pt idx="33">
                  <c:v>3.25</c:v>
                </c:pt>
                <c:pt idx="34">
                  <c:v>5</c:v>
                </c:pt>
                <c:pt idx="35">
                  <c:v>4.25</c:v>
                </c:pt>
                <c:pt idx="36">
                  <c:v>6.5</c:v>
                </c:pt>
                <c:pt idx="37">
                  <c:v>3.17</c:v>
                </c:pt>
                <c:pt idx="38">
                  <c:v>7.75</c:v>
                </c:pt>
                <c:pt idx="39">
                  <c:v>6.37</c:v>
                </c:pt>
                <c:pt idx="40">
                  <c:v>8.33</c:v>
                </c:pt>
                <c:pt idx="41">
                  <c:v>4.5</c:v>
                </c:pt>
                <c:pt idx="42">
                  <c:v>5.37</c:v>
                </c:pt>
                <c:pt idx="43">
                  <c:v>1</c:v>
                </c:pt>
                <c:pt idx="44">
                  <c:v>4.83</c:v>
                </c:pt>
                <c:pt idx="45">
                  <c:v>4.25</c:v>
                </c:pt>
                <c:pt idx="46">
                  <c:v>2.67</c:v>
                </c:pt>
                <c:pt idx="47">
                  <c:v>2</c:v>
                </c:pt>
                <c:pt idx="48">
                  <c:v>9.67</c:v>
                </c:pt>
                <c:pt idx="49">
                  <c:v>2.5</c:v>
                </c:pt>
                <c:pt idx="50">
                  <c:v>5.33</c:v>
                </c:pt>
                <c:pt idx="51">
                  <c:v>5.33</c:v>
                </c:pt>
                <c:pt idx="52">
                  <c:v>4.5</c:v>
                </c:pt>
                <c:pt idx="53">
                  <c:v>7.12</c:v>
                </c:pt>
              </c:numCache>
            </c:numRef>
          </c:xVal>
          <c:yVal>
            <c:numRef>
              <c:f>Sheet1!$K$2:$K$55</c:f>
              <c:numCache>
                <c:formatCode>General</c:formatCode>
                <c:ptCount val="54"/>
                <c:pt idx="0">
                  <c:v>0.2</c:v>
                </c:pt>
                <c:pt idx="1">
                  <c:v>0.5</c:v>
                </c:pt>
                <c:pt idx="2">
                  <c:v>0.12</c:v>
                </c:pt>
                <c:pt idx="3">
                  <c:v>0.37</c:v>
                </c:pt>
                <c:pt idx="4">
                  <c:v>0.17</c:v>
                </c:pt>
                <c:pt idx="5">
                  <c:v>0.2</c:v>
                </c:pt>
                <c:pt idx="6">
                  <c:v>0.39</c:v>
                </c:pt>
                <c:pt idx="7">
                  <c:v>0.44</c:v>
                </c:pt>
                <c:pt idx="8">
                  <c:v>0.33</c:v>
                </c:pt>
                <c:pt idx="9">
                  <c:v>0.32</c:v>
                </c:pt>
                <c:pt idx="10">
                  <c:v>0.23</c:v>
                </c:pt>
                <c:pt idx="11">
                  <c:v>0.34</c:v>
                </c:pt>
                <c:pt idx="12">
                  <c:v>0.36</c:v>
                </c:pt>
                <c:pt idx="13">
                  <c:v>0.28999999999999998</c:v>
                </c:pt>
                <c:pt idx="14">
                  <c:v>0.33</c:v>
                </c:pt>
                <c:pt idx="15">
                  <c:v>0.28000000000000003</c:v>
                </c:pt>
                <c:pt idx="16">
                  <c:v>0.18</c:v>
                </c:pt>
                <c:pt idx="17">
                  <c:v>0.28000000000000003</c:v>
                </c:pt>
                <c:pt idx="18">
                  <c:v>0.39</c:v>
                </c:pt>
                <c:pt idx="19">
                  <c:v>0.41</c:v>
                </c:pt>
                <c:pt idx="20">
                  <c:v>0.5</c:v>
                </c:pt>
                <c:pt idx="21">
                  <c:v>0.28000000000000003</c:v>
                </c:pt>
                <c:pt idx="22">
                  <c:v>0.38</c:v>
                </c:pt>
                <c:pt idx="23">
                  <c:v>0.52</c:v>
                </c:pt>
                <c:pt idx="24">
                  <c:v>0.25</c:v>
                </c:pt>
                <c:pt idx="25">
                  <c:v>0.36</c:v>
                </c:pt>
                <c:pt idx="26">
                  <c:v>0.25</c:v>
                </c:pt>
                <c:pt idx="27">
                  <c:v>0.25</c:v>
                </c:pt>
                <c:pt idx="28">
                  <c:v>0.22</c:v>
                </c:pt>
                <c:pt idx="29">
                  <c:v>0</c:v>
                </c:pt>
                <c:pt idx="30">
                  <c:v>0.23</c:v>
                </c:pt>
                <c:pt idx="31">
                  <c:v>7.0000000000000007E-2</c:v>
                </c:pt>
                <c:pt idx="32">
                  <c:v>0.13</c:v>
                </c:pt>
                <c:pt idx="33">
                  <c:v>0.15</c:v>
                </c:pt>
                <c:pt idx="34">
                  <c:v>0.18</c:v>
                </c:pt>
                <c:pt idx="35">
                  <c:v>0.35</c:v>
                </c:pt>
                <c:pt idx="36">
                  <c:v>0.42</c:v>
                </c:pt>
                <c:pt idx="37">
                  <c:v>0.26</c:v>
                </c:pt>
                <c:pt idx="38">
                  <c:v>0.55000000000000004</c:v>
                </c:pt>
                <c:pt idx="39">
                  <c:v>0.27</c:v>
                </c:pt>
                <c:pt idx="40">
                  <c:v>0.34</c:v>
                </c:pt>
                <c:pt idx="41">
                  <c:v>0.3</c:v>
                </c:pt>
                <c:pt idx="42">
                  <c:v>0.3</c:v>
                </c:pt>
                <c:pt idx="43">
                  <c:v>0.25</c:v>
                </c:pt>
                <c:pt idx="44">
                  <c:v>0.41</c:v>
                </c:pt>
                <c:pt idx="45">
                  <c:v>0.18</c:v>
                </c:pt>
                <c:pt idx="46">
                  <c:v>0.38</c:v>
                </c:pt>
                <c:pt idx="47">
                  <c:v>0.25</c:v>
                </c:pt>
                <c:pt idx="48">
                  <c:v>0.31</c:v>
                </c:pt>
                <c:pt idx="49">
                  <c:v>0.27</c:v>
                </c:pt>
                <c:pt idx="50">
                  <c:v>0.38</c:v>
                </c:pt>
                <c:pt idx="51">
                  <c:v>0.44</c:v>
                </c:pt>
                <c:pt idx="52">
                  <c:v>0.37</c:v>
                </c:pt>
                <c:pt idx="53">
                  <c:v>0.32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5-468D-AB91-A81FB7147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581520"/>
        <c:axId val="1494580800"/>
      </c:scatterChart>
      <c:valAx>
        <c:axId val="145058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SoT/90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4580800"/>
        <c:crosses val="autoZero"/>
        <c:crossBetween val="midCat"/>
      </c:valAx>
      <c:valAx>
        <c:axId val="149458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G/SoT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58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G/90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Sheet1!$I$2:$I$55</c:f>
              <c:numCache>
                <c:formatCode>General</c:formatCode>
                <c:ptCount val="54"/>
                <c:pt idx="0">
                  <c:v>3.12</c:v>
                </c:pt>
                <c:pt idx="1">
                  <c:v>0.75</c:v>
                </c:pt>
                <c:pt idx="2">
                  <c:v>2.83</c:v>
                </c:pt>
                <c:pt idx="3">
                  <c:v>6.75</c:v>
                </c:pt>
                <c:pt idx="4">
                  <c:v>1</c:v>
                </c:pt>
                <c:pt idx="5">
                  <c:v>2.5</c:v>
                </c:pt>
                <c:pt idx="6">
                  <c:v>8</c:v>
                </c:pt>
                <c:pt idx="7">
                  <c:v>4.5</c:v>
                </c:pt>
                <c:pt idx="8">
                  <c:v>1.5</c:v>
                </c:pt>
                <c:pt idx="9">
                  <c:v>8.5</c:v>
                </c:pt>
                <c:pt idx="10">
                  <c:v>4.87</c:v>
                </c:pt>
                <c:pt idx="11">
                  <c:v>6.62</c:v>
                </c:pt>
                <c:pt idx="12">
                  <c:v>7</c:v>
                </c:pt>
                <c:pt idx="13">
                  <c:v>7.88</c:v>
                </c:pt>
                <c:pt idx="14">
                  <c:v>3</c:v>
                </c:pt>
                <c:pt idx="15">
                  <c:v>4</c:v>
                </c:pt>
                <c:pt idx="16">
                  <c:v>4.25</c:v>
                </c:pt>
                <c:pt idx="17">
                  <c:v>7.67</c:v>
                </c:pt>
                <c:pt idx="18">
                  <c:v>3</c:v>
                </c:pt>
                <c:pt idx="19">
                  <c:v>6.17</c:v>
                </c:pt>
                <c:pt idx="20">
                  <c:v>0.75</c:v>
                </c:pt>
                <c:pt idx="21">
                  <c:v>6</c:v>
                </c:pt>
                <c:pt idx="22">
                  <c:v>4.83</c:v>
                </c:pt>
                <c:pt idx="23">
                  <c:v>4.17</c:v>
                </c:pt>
                <c:pt idx="24">
                  <c:v>6.5</c:v>
                </c:pt>
                <c:pt idx="25">
                  <c:v>7</c:v>
                </c:pt>
                <c:pt idx="26">
                  <c:v>4</c:v>
                </c:pt>
                <c:pt idx="27">
                  <c:v>3.33</c:v>
                </c:pt>
                <c:pt idx="28">
                  <c:v>2.25</c:v>
                </c:pt>
                <c:pt idx="29">
                  <c:v>0.87</c:v>
                </c:pt>
                <c:pt idx="30">
                  <c:v>2.75</c:v>
                </c:pt>
                <c:pt idx="31">
                  <c:v>2.33</c:v>
                </c:pt>
                <c:pt idx="32">
                  <c:v>3</c:v>
                </c:pt>
                <c:pt idx="33">
                  <c:v>3.25</c:v>
                </c:pt>
                <c:pt idx="34">
                  <c:v>5</c:v>
                </c:pt>
                <c:pt idx="35">
                  <c:v>4.25</c:v>
                </c:pt>
                <c:pt idx="36">
                  <c:v>6.5</c:v>
                </c:pt>
                <c:pt idx="37">
                  <c:v>3.17</c:v>
                </c:pt>
                <c:pt idx="38">
                  <c:v>7.75</c:v>
                </c:pt>
                <c:pt idx="39">
                  <c:v>6.37</c:v>
                </c:pt>
                <c:pt idx="40">
                  <c:v>8.33</c:v>
                </c:pt>
                <c:pt idx="41">
                  <c:v>4.5</c:v>
                </c:pt>
                <c:pt idx="42">
                  <c:v>5.37</c:v>
                </c:pt>
                <c:pt idx="43">
                  <c:v>1</c:v>
                </c:pt>
                <c:pt idx="44">
                  <c:v>4.83</c:v>
                </c:pt>
                <c:pt idx="45">
                  <c:v>4.25</c:v>
                </c:pt>
                <c:pt idx="46">
                  <c:v>2.67</c:v>
                </c:pt>
                <c:pt idx="47">
                  <c:v>2</c:v>
                </c:pt>
                <c:pt idx="48">
                  <c:v>9.67</c:v>
                </c:pt>
                <c:pt idx="49">
                  <c:v>2.5</c:v>
                </c:pt>
                <c:pt idx="50">
                  <c:v>5.33</c:v>
                </c:pt>
                <c:pt idx="51">
                  <c:v>5.33</c:v>
                </c:pt>
                <c:pt idx="52">
                  <c:v>4.5</c:v>
                </c:pt>
                <c:pt idx="53">
                  <c:v>7.12</c:v>
                </c:pt>
              </c:numCache>
            </c:numRef>
          </c:xVal>
          <c:yVal>
            <c:numRef>
              <c:f>Sheet1!$N$2:$N$55</c:f>
              <c:numCache>
                <c:formatCode>0.00</c:formatCode>
                <c:ptCount val="54"/>
                <c:pt idx="0">
                  <c:v>0.75</c:v>
                </c:pt>
                <c:pt idx="1">
                  <c:v>0.375</c:v>
                </c:pt>
                <c:pt idx="2">
                  <c:v>0.5</c:v>
                </c:pt>
                <c:pt idx="3">
                  <c:v>2.75</c:v>
                </c:pt>
                <c:pt idx="4">
                  <c:v>0.33333333333333331</c:v>
                </c:pt>
                <c:pt idx="5">
                  <c:v>0.66666666666666663</c:v>
                </c:pt>
                <c:pt idx="6">
                  <c:v>3.625</c:v>
                </c:pt>
                <c:pt idx="7">
                  <c:v>2</c:v>
                </c:pt>
                <c:pt idx="8">
                  <c:v>0.5</c:v>
                </c:pt>
                <c:pt idx="9">
                  <c:v>3.125</c:v>
                </c:pt>
                <c:pt idx="10">
                  <c:v>1.375</c:v>
                </c:pt>
                <c:pt idx="11">
                  <c:v>2.25</c:v>
                </c:pt>
                <c:pt idx="12">
                  <c:v>2.6666666666666665</c:v>
                </c:pt>
                <c:pt idx="13">
                  <c:v>2.5</c:v>
                </c:pt>
                <c:pt idx="14">
                  <c:v>1</c:v>
                </c:pt>
                <c:pt idx="15">
                  <c:v>1.25</c:v>
                </c:pt>
                <c:pt idx="16">
                  <c:v>1</c:v>
                </c:pt>
                <c:pt idx="17">
                  <c:v>2.5</c:v>
                </c:pt>
                <c:pt idx="18">
                  <c:v>1.1666666666666667</c:v>
                </c:pt>
                <c:pt idx="19">
                  <c:v>2.6666666666666665</c:v>
                </c:pt>
                <c:pt idx="20">
                  <c:v>0.375</c:v>
                </c:pt>
                <c:pt idx="21">
                  <c:v>1.6666666666666667</c:v>
                </c:pt>
                <c:pt idx="22">
                  <c:v>1.8333333333333333</c:v>
                </c:pt>
                <c:pt idx="23">
                  <c:v>2.1666666666666665</c:v>
                </c:pt>
                <c:pt idx="24">
                  <c:v>1.875</c:v>
                </c:pt>
                <c:pt idx="25">
                  <c:v>2.625</c:v>
                </c:pt>
                <c:pt idx="26">
                  <c:v>1.125</c:v>
                </c:pt>
                <c:pt idx="27">
                  <c:v>0.83333333333333337</c:v>
                </c:pt>
                <c:pt idx="28">
                  <c:v>0.625</c:v>
                </c:pt>
                <c:pt idx="29">
                  <c:v>0</c:v>
                </c:pt>
                <c:pt idx="30">
                  <c:v>0.75</c:v>
                </c:pt>
                <c:pt idx="31">
                  <c:v>0.16666666666666666</c:v>
                </c:pt>
                <c:pt idx="32">
                  <c:v>0.5</c:v>
                </c:pt>
                <c:pt idx="33">
                  <c:v>0.5</c:v>
                </c:pt>
                <c:pt idx="34">
                  <c:v>1</c:v>
                </c:pt>
                <c:pt idx="35">
                  <c:v>1.5</c:v>
                </c:pt>
                <c:pt idx="36">
                  <c:v>3.375</c:v>
                </c:pt>
                <c:pt idx="37">
                  <c:v>1</c:v>
                </c:pt>
                <c:pt idx="38">
                  <c:v>4.375</c:v>
                </c:pt>
                <c:pt idx="39">
                  <c:v>1.75</c:v>
                </c:pt>
                <c:pt idx="40">
                  <c:v>3.3333333333333335</c:v>
                </c:pt>
                <c:pt idx="41">
                  <c:v>1.5</c:v>
                </c:pt>
                <c:pt idx="42">
                  <c:v>2</c:v>
                </c:pt>
                <c:pt idx="43">
                  <c:v>0.25</c:v>
                </c:pt>
                <c:pt idx="44">
                  <c:v>2</c:v>
                </c:pt>
                <c:pt idx="45">
                  <c:v>1</c:v>
                </c:pt>
                <c:pt idx="46">
                  <c:v>1</c:v>
                </c:pt>
                <c:pt idx="47">
                  <c:v>0.5</c:v>
                </c:pt>
                <c:pt idx="48">
                  <c:v>3.3333333333333335</c:v>
                </c:pt>
                <c:pt idx="49">
                  <c:v>0.66666666666666663</c:v>
                </c:pt>
                <c:pt idx="50">
                  <c:v>2.3333333333333335</c:v>
                </c:pt>
                <c:pt idx="51">
                  <c:v>2.5</c:v>
                </c:pt>
                <c:pt idx="52">
                  <c:v>1.6666666666666667</c:v>
                </c:pt>
                <c:pt idx="53">
                  <c:v>2.625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8F-48E1-9F8E-A4BB25CAC5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3300944"/>
        <c:axId val="1343298064"/>
      </c:scatterChart>
      <c:valAx>
        <c:axId val="1343300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298064"/>
        <c:crosses val="autoZero"/>
        <c:crossBetween val="midCat"/>
      </c:valAx>
      <c:valAx>
        <c:axId val="1343298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3300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19</xdr:row>
      <xdr:rowOff>133350</xdr:rowOff>
    </xdr:from>
    <xdr:to>
      <xdr:col>24</xdr:col>
      <xdr:colOff>0</xdr:colOff>
      <xdr:row>35</xdr:row>
      <xdr:rowOff>9525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9BEC650-7326-9B01-7734-59EAAB240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161925</xdr:colOff>
      <xdr:row>4</xdr:row>
      <xdr:rowOff>57149</xdr:rowOff>
    </xdr:from>
    <xdr:to>
      <xdr:col>22</xdr:col>
      <xdr:colOff>76200</xdr:colOff>
      <xdr:row>19</xdr:row>
      <xdr:rowOff>123824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29C8BA-1168-7A7A-0148-30E8E3C373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887AB-3A4B-4F8C-8348-6903F95411A1}" name="Table1" displayName="Table1" ref="A1:N55" totalsRowShown="0" headerRowDxfId="16" dataDxfId="15" tableBorderDxfId="14">
  <autoFilter ref="A1:N55" xr:uid="{295887AB-3A4B-4F8C-8348-6903F95411A1}"/>
  <tableColumns count="14">
    <tableColumn id="14" xr3:uid="{AB354C3D-7D47-4A5E-B881-6063D4ED3CB7}" name="Team" dataDxfId="13" dataCellStyle="Hyperlink"/>
    <tableColumn id="2" xr3:uid="{96092553-B5D0-4960-8975-C9C47F3CA3C3}" name="# Pl" dataDxfId="12"/>
    <tableColumn id="3" xr3:uid="{F8B2E1DF-5DD2-49B2-908C-16EDC98A4543}" name="90s" dataDxfId="11"/>
    <tableColumn id="4" xr3:uid="{2FAF0E73-4FEA-4EB8-B332-80F72ED332CE}" name="Gls" dataDxfId="10"/>
    <tableColumn id="5" xr3:uid="{27B10C70-961D-4909-834D-DE5BC2695FB0}" name="Sh" dataDxfId="9"/>
    <tableColumn id="6" xr3:uid="{4153684A-F554-4B29-8144-FD8EEB6A61EC}" name="SoT" dataDxfId="8"/>
    <tableColumn id="7" xr3:uid="{E7138407-A553-4BB0-9E54-70E95C47DD10}" name="SoT%" dataDxfId="7"/>
    <tableColumn id="8" xr3:uid="{78E4B6ED-04B4-4D83-9AA6-9C9CABABB35A}" name="Sh/90" dataDxfId="6"/>
    <tableColumn id="9" xr3:uid="{B29B3A0C-2EF9-4259-97CD-B61C8B380AE1}" name="SoT/90" dataDxfId="5"/>
    <tableColumn id="10" xr3:uid="{7F90851D-7213-4C3E-A4E4-C5DA83A86A2C}" name="G/Sh" dataDxfId="4"/>
    <tableColumn id="11" xr3:uid="{5D84839E-7587-4226-BC2F-4934BBBD4321}" name="G/SoT" dataDxfId="3"/>
    <tableColumn id="12" xr3:uid="{EA205FE7-A1B2-43FC-9362-CE37ABF5887C}" name="PK" dataDxfId="2"/>
    <tableColumn id="13" xr3:uid="{9123979B-9463-4D28-8526-C1384623A9C3}" name="PKatt" dataDxfId="1"/>
    <tableColumn id="17" xr3:uid="{4816E699-B1B2-4366-AC05-8F4565E3E581}" name="G/90" dataDxfId="0">
      <calculatedColumnFormula>Table1[[#This Row],[Gls]]/Table1[[#This Row],[90s]]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F757-3404-463B-8659-514F940061AE}">
  <dimension ref="A1:N55"/>
  <sheetViews>
    <sheetView tabSelected="1" topLeftCell="A21" zoomScaleNormal="100" workbookViewId="0">
      <selection activeCell="A40" sqref="A40"/>
    </sheetView>
  </sheetViews>
  <sheetFormatPr defaultRowHeight="15" x14ac:dyDescent="0.25"/>
  <cols>
    <col min="1" max="1" width="31.7109375" customWidth="1"/>
    <col min="9" max="9" width="13.5703125" customWidth="1"/>
    <col min="10" max="10" width="10.7109375" customWidth="1"/>
    <col min="11" max="11" width="12.42578125" customWidth="1"/>
    <col min="14" max="14" width="9.140625" style="11"/>
  </cols>
  <sheetData>
    <row r="1" spans="1:14" x14ac:dyDescent="0.25">
      <c r="A1" s="5" t="s">
        <v>12</v>
      </c>
      <c r="B1" s="6" t="s">
        <v>0</v>
      </c>
      <c r="C1" s="6" t="s">
        <v>1</v>
      </c>
      <c r="D1" s="7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8" t="s">
        <v>11</v>
      </c>
      <c r="N1" s="9" t="s">
        <v>63</v>
      </c>
    </row>
    <row r="2" spans="1:14" x14ac:dyDescent="0.25">
      <c r="A2" s="2" t="s">
        <v>13</v>
      </c>
      <c r="B2" s="3">
        <v>25</v>
      </c>
      <c r="C2" s="3">
        <v>8</v>
      </c>
      <c r="D2" s="3">
        <v>6</v>
      </c>
      <c r="E2" s="3">
        <v>76</v>
      </c>
      <c r="F2" s="3">
        <v>25</v>
      </c>
      <c r="G2" s="3">
        <v>32.9</v>
      </c>
      <c r="H2" s="3">
        <v>9.5</v>
      </c>
      <c r="I2" s="3">
        <v>3.12</v>
      </c>
      <c r="J2" s="3">
        <v>7.0000000000000007E-2</v>
      </c>
      <c r="K2" s="3">
        <v>0.2</v>
      </c>
      <c r="L2" s="3">
        <v>1</v>
      </c>
      <c r="M2" s="3">
        <v>2</v>
      </c>
      <c r="N2" s="10">
        <f>Table1[[#This Row],[Gls]]/Table1[[#This Row],[90s]]</f>
        <v>0.75</v>
      </c>
    </row>
    <row r="3" spans="1:14" x14ac:dyDescent="0.25">
      <c r="A3" s="2" t="s">
        <v>14</v>
      </c>
      <c r="B3" s="3">
        <v>28</v>
      </c>
      <c r="C3" s="3">
        <v>8</v>
      </c>
      <c r="D3" s="3">
        <v>3</v>
      </c>
      <c r="E3" s="3">
        <v>30</v>
      </c>
      <c r="F3" s="3">
        <v>6</v>
      </c>
      <c r="G3" s="3">
        <v>20</v>
      </c>
      <c r="H3" s="3">
        <v>3.75</v>
      </c>
      <c r="I3" s="3">
        <v>0.75</v>
      </c>
      <c r="J3" s="3">
        <v>0.1</v>
      </c>
      <c r="K3" s="3">
        <v>0.5</v>
      </c>
      <c r="L3" s="3">
        <v>0</v>
      </c>
      <c r="M3" s="3">
        <v>0</v>
      </c>
      <c r="N3" s="10">
        <f>Table1[[#This Row],[Gls]]/Table1[[#This Row],[90s]]</f>
        <v>0.375</v>
      </c>
    </row>
    <row r="4" spans="1:14" x14ac:dyDescent="0.25">
      <c r="A4" s="2" t="s">
        <v>15</v>
      </c>
      <c r="B4" s="3">
        <v>25</v>
      </c>
      <c r="C4" s="3">
        <v>6</v>
      </c>
      <c r="D4" s="3">
        <v>3</v>
      </c>
      <c r="E4" s="3">
        <v>43</v>
      </c>
      <c r="F4" s="3">
        <v>17</v>
      </c>
      <c r="G4" s="3">
        <v>39.5</v>
      </c>
      <c r="H4" s="3">
        <v>7.17</v>
      </c>
      <c r="I4" s="3">
        <v>2.83</v>
      </c>
      <c r="J4" s="3">
        <v>0.05</v>
      </c>
      <c r="K4" s="3">
        <v>0.12</v>
      </c>
      <c r="L4" s="3">
        <v>1</v>
      </c>
      <c r="M4" s="3">
        <v>1</v>
      </c>
      <c r="N4" s="10">
        <f>Table1[[#This Row],[Gls]]/Table1[[#This Row],[90s]]</f>
        <v>0.5</v>
      </c>
    </row>
    <row r="5" spans="1:14" x14ac:dyDescent="0.25">
      <c r="A5" s="2" t="s">
        <v>16</v>
      </c>
      <c r="B5" s="3">
        <v>28</v>
      </c>
      <c r="C5" s="3">
        <v>8</v>
      </c>
      <c r="D5" s="3">
        <v>22</v>
      </c>
      <c r="E5" s="3">
        <v>107</v>
      </c>
      <c r="F5" s="3">
        <v>54</v>
      </c>
      <c r="G5" s="3">
        <v>50.5</v>
      </c>
      <c r="H5" s="3">
        <v>13.37</v>
      </c>
      <c r="I5" s="3">
        <v>6.75</v>
      </c>
      <c r="J5" s="3">
        <v>0.19</v>
      </c>
      <c r="K5" s="3">
        <v>0.37</v>
      </c>
      <c r="L5" s="3">
        <v>2</v>
      </c>
      <c r="M5" s="3">
        <v>3</v>
      </c>
      <c r="N5" s="10">
        <f>Table1[[#This Row],[Gls]]/Table1[[#This Row],[90s]]</f>
        <v>2.75</v>
      </c>
    </row>
    <row r="6" spans="1:14" x14ac:dyDescent="0.25">
      <c r="A6" s="2" t="s">
        <v>17</v>
      </c>
      <c r="B6" s="3">
        <v>29</v>
      </c>
      <c r="C6" s="3">
        <v>6</v>
      </c>
      <c r="D6" s="3">
        <v>2</v>
      </c>
      <c r="E6" s="3">
        <v>24</v>
      </c>
      <c r="F6" s="3">
        <v>6</v>
      </c>
      <c r="G6" s="3">
        <v>25</v>
      </c>
      <c r="H6" s="3">
        <v>4</v>
      </c>
      <c r="I6" s="3">
        <v>1</v>
      </c>
      <c r="J6" s="3">
        <v>0.04</v>
      </c>
      <c r="K6" s="3">
        <v>0.17</v>
      </c>
      <c r="L6" s="3">
        <v>1</v>
      </c>
      <c r="M6" s="3">
        <v>1</v>
      </c>
      <c r="N6" s="10">
        <f>Table1[[#This Row],[Gls]]/Table1[[#This Row],[90s]]</f>
        <v>0.33333333333333331</v>
      </c>
    </row>
    <row r="7" spans="1:14" x14ac:dyDescent="0.25">
      <c r="A7" s="2" t="s">
        <v>18</v>
      </c>
      <c r="B7" s="3">
        <v>29</v>
      </c>
      <c r="C7" s="3">
        <v>6</v>
      </c>
      <c r="D7" s="3">
        <v>4</v>
      </c>
      <c r="E7" s="3">
        <v>58</v>
      </c>
      <c r="F7" s="3">
        <v>15</v>
      </c>
      <c r="G7" s="3">
        <v>25.9</v>
      </c>
      <c r="H7" s="3">
        <v>9.67</v>
      </c>
      <c r="I7" s="3">
        <v>2.5</v>
      </c>
      <c r="J7" s="3">
        <v>0.05</v>
      </c>
      <c r="K7" s="3">
        <v>0.2</v>
      </c>
      <c r="L7" s="3">
        <v>1</v>
      </c>
      <c r="M7" s="3">
        <v>1</v>
      </c>
      <c r="N7" s="10">
        <f>Table1[[#This Row],[Gls]]/Table1[[#This Row],[90s]]</f>
        <v>0.66666666666666663</v>
      </c>
    </row>
    <row r="8" spans="1:14" x14ac:dyDescent="0.25">
      <c r="A8" s="2" t="s">
        <v>19</v>
      </c>
      <c r="B8" s="3">
        <v>29</v>
      </c>
      <c r="C8" s="3">
        <v>8</v>
      </c>
      <c r="D8" s="3">
        <v>29</v>
      </c>
      <c r="E8" s="3">
        <v>178</v>
      </c>
      <c r="F8" s="3">
        <v>64</v>
      </c>
      <c r="G8" s="3">
        <v>36</v>
      </c>
      <c r="H8" s="3">
        <v>22.25</v>
      </c>
      <c r="I8" s="3">
        <v>8</v>
      </c>
      <c r="J8" s="3">
        <v>0.14000000000000001</v>
      </c>
      <c r="K8" s="3">
        <v>0.39</v>
      </c>
      <c r="L8" s="3">
        <v>4</v>
      </c>
      <c r="M8" s="3">
        <v>4</v>
      </c>
      <c r="N8" s="10">
        <f>Table1[[#This Row],[Gls]]/Table1[[#This Row],[90s]]</f>
        <v>3.625</v>
      </c>
    </row>
    <row r="9" spans="1:14" x14ac:dyDescent="0.25">
      <c r="A9" s="2" t="s">
        <v>64</v>
      </c>
      <c r="B9" s="3">
        <v>31</v>
      </c>
      <c r="C9" s="3">
        <v>8</v>
      </c>
      <c r="D9" s="3">
        <v>16</v>
      </c>
      <c r="E9" s="3">
        <v>115</v>
      </c>
      <c r="F9" s="3">
        <v>36</v>
      </c>
      <c r="G9" s="3">
        <v>31.3</v>
      </c>
      <c r="H9" s="3">
        <v>14.37</v>
      </c>
      <c r="I9" s="3">
        <v>4.5</v>
      </c>
      <c r="J9" s="3">
        <v>0.14000000000000001</v>
      </c>
      <c r="K9" s="3">
        <v>0.44</v>
      </c>
      <c r="L9" s="3">
        <v>0</v>
      </c>
      <c r="M9" s="3">
        <v>0</v>
      </c>
      <c r="N9" s="10">
        <f>Table1[[#This Row],[Gls]]/Table1[[#This Row],[90s]]</f>
        <v>2</v>
      </c>
    </row>
    <row r="10" spans="1:14" x14ac:dyDescent="0.25">
      <c r="A10" s="2" t="s">
        <v>20</v>
      </c>
      <c r="B10" s="3">
        <v>33</v>
      </c>
      <c r="C10" s="3">
        <v>6</v>
      </c>
      <c r="D10" s="3">
        <v>3</v>
      </c>
      <c r="E10" s="3">
        <v>27</v>
      </c>
      <c r="F10" s="3">
        <v>9</v>
      </c>
      <c r="G10" s="3">
        <v>33.299999999999997</v>
      </c>
      <c r="H10" s="3">
        <v>4.5</v>
      </c>
      <c r="I10" s="3">
        <v>1.5</v>
      </c>
      <c r="J10" s="3">
        <v>0.11</v>
      </c>
      <c r="K10" s="3">
        <v>0.33</v>
      </c>
      <c r="L10" s="3">
        <v>0</v>
      </c>
      <c r="M10" s="3">
        <v>0</v>
      </c>
      <c r="N10" s="10">
        <f>Table1[[#This Row],[Gls]]/Table1[[#This Row],[90s]]</f>
        <v>0.5</v>
      </c>
    </row>
    <row r="11" spans="1:14" x14ac:dyDescent="0.25">
      <c r="A11" s="2" t="s">
        <v>21</v>
      </c>
      <c r="B11" s="3">
        <v>32</v>
      </c>
      <c r="C11" s="3">
        <v>8</v>
      </c>
      <c r="D11" s="3">
        <v>25</v>
      </c>
      <c r="E11" s="3">
        <v>181</v>
      </c>
      <c r="F11" s="3">
        <v>68</v>
      </c>
      <c r="G11" s="3">
        <v>37.6</v>
      </c>
      <c r="H11" s="3">
        <v>22.62</v>
      </c>
      <c r="I11" s="3">
        <v>8.5</v>
      </c>
      <c r="J11" s="3">
        <v>0.12</v>
      </c>
      <c r="K11" s="3">
        <v>0.32</v>
      </c>
      <c r="L11" s="3">
        <v>3</v>
      </c>
      <c r="M11" s="3">
        <v>4</v>
      </c>
      <c r="N11" s="10">
        <f>Table1[[#This Row],[Gls]]/Table1[[#This Row],[90s]]</f>
        <v>3.125</v>
      </c>
    </row>
    <row r="12" spans="1:14" x14ac:dyDescent="0.25">
      <c r="A12" s="2" t="s">
        <v>22</v>
      </c>
      <c r="B12" s="3">
        <v>29</v>
      </c>
      <c r="C12" s="3">
        <v>8</v>
      </c>
      <c r="D12" s="3">
        <v>11</v>
      </c>
      <c r="E12" s="3">
        <v>112</v>
      </c>
      <c r="F12" s="3">
        <v>39</v>
      </c>
      <c r="G12" s="3">
        <v>34.799999999999997</v>
      </c>
      <c r="H12" s="3">
        <v>14</v>
      </c>
      <c r="I12" s="3">
        <v>4.87</v>
      </c>
      <c r="J12" s="3">
        <v>0.08</v>
      </c>
      <c r="K12" s="3">
        <v>0.23</v>
      </c>
      <c r="L12" s="3">
        <v>2</v>
      </c>
      <c r="M12" s="3">
        <v>2</v>
      </c>
      <c r="N12" s="10">
        <f>Table1[[#This Row],[Gls]]/Table1[[#This Row],[90s]]</f>
        <v>1.375</v>
      </c>
    </row>
    <row r="13" spans="1:14" x14ac:dyDescent="0.25">
      <c r="A13" s="2" t="s">
        <v>23</v>
      </c>
      <c r="B13" s="3">
        <v>34</v>
      </c>
      <c r="C13" s="3">
        <v>8</v>
      </c>
      <c r="D13" s="3">
        <v>18</v>
      </c>
      <c r="E13" s="3">
        <v>143</v>
      </c>
      <c r="F13" s="3">
        <v>53</v>
      </c>
      <c r="G13" s="3">
        <v>37.1</v>
      </c>
      <c r="H13" s="3">
        <v>17.87</v>
      </c>
      <c r="I13" s="3">
        <v>6.62</v>
      </c>
      <c r="J13" s="3">
        <v>0.13</v>
      </c>
      <c r="K13" s="3">
        <v>0.34</v>
      </c>
      <c r="L13" s="3">
        <v>0</v>
      </c>
      <c r="M13" s="3">
        <v>0</v>
      </c>
      <c r="N13" s="10">
        <f>Table1[[#This Row],[Gls]]/Table1[[#This Row],[90s]]</f>
        <v>2.25</v>
      </c>
    </row>
    <row r="14" spans="1:14" x14ac:dyDescent="0.25">
      <c r="A14" s="2" t="s">
        <v>24</v>
      </c>
      <c r="B14" s="3">
        <v>25</v>
      </c>
      <c r="C14" s="3">
        <v>6</v>
      </c>
      <c r="D14" s="3">
        <v>16</v>
      </c>
      <c r="E14" s="3">
        <v>120</v>
      </c>
      <c r="F14" s="3">
        <v>42</v>
      </c>
      <c r="G14" s="3">
        <v>35</v>
      </c>
      <c r="H14" s="3">
        <v>20</v>
      </c>
      <c r="I14" s="3">
        <v>7</v>
      </c>
      <c r="J14" s="3">
        <v>0.13</v>
      </c>
      <c r="K14" s="3">
        <v>0.36</v>
      </c>
      <c r="L14" s="3">
        <v>1</v>
      </c>
      <c r="M14" s="3">
        <v>1</v>
      </c>
      <c r="N14" s="10">
        <f>Table1[[#This Row],[Gls]]/Table1[[#This Row],[90s]]</f>
        <v>2.6666666666666665</v>
      </c>
    </row>
    <row r="15" spans="1:14" x14ac:dyDescent="0.25">
      <c r="A15" s="2" t="s">
        <v>25</v>
      </c>
      <c r="B15" s="3">
        <v>32</v>
      </c>
      <c r="C15" s="3">
        <v>8</v>
      </c>
      <c r="D15" s="3">
        <v>20</v>
      </c>
      <c r="E15" s="3">
        <v>151</v>
      </c>
      <c r="F15" s="3">
        <v>63</v>
      </c>
      <c r="G15" s="3">
        <v>41.7</v>
      </c>
      <c r="H15" s="3">
        <v>18.87</v>
      </c>
      <c r="I15" s="3">
        <v>7.88</v>
      </c>
      <c r="J15" s="3">
        <v>0.12</v>
      </c>
      <c r="K15" s="3">
        <v>0.28999999999999998</v>
      </c>
      <c r="L15" s="3">
        <v>2</v>
      </c>
      <c r="M15" s="3">
        <v>2</v>
      </c>
      <c r="N15" s="10">
        <f>Table1[[#This Row],[Gls]]/Table1[[#This Row],[90s]]</f>
        <v>2.5</v>
      </c>
    </row>
    <row r="16" spans="1:14" x14ac:dyDescent="0.25">
      <c r="A16" s="2" t="s">
        <v>26</v>
      </c>
      <c r="B16" s="3">
        <v>28</v>
      </c>
      <c r="C16" s="3">
        <v>8</v>
      </c>
      <c r="D16" s="3">
        <v>8</v>
      </c>
      <c r="E16" s="3">
        <v>61</v>
      </c>
      <c r="F16" s="3">
        <v>24</v>
      </c>
      <c r="G16" s="3">
        <v>39.299999999999997</v>
      </c>
      <c r="H16" s="3">
        <v>7.62</v>
      </c>
      <c r="I16" s="3">
        <v>3</v>
      </c>
      <c r="J16" s="3">
        <v>0.13</v>
      </c>
      <c r="K16" s="3">
        <v>0.33</v>
      </c>
      <c r="L16" s="3">
        <v>0</v>
      </c>
      <c r="M16" s="3">
        <v>0</v>
      </c>
      <c r="N16" s="10">
        <f>Table1[[#This Row],[Gls]]/Table1[[#This Row],[90s]]</f>
        <v>1</v>
      </c>
    </row>
    <row r="17" spans="1:14" x14ac:dyDescent="0.25">
      <c r="A17" s="2" t="s">
        <v>65</v>
      </c>
      <c r="B17" s="3">
        <v>26</v>
      </c>
      <c r="C17" s="3">
        <v>8</v>
      </c>
      <c r="D17" s="3">
        <v>10</v>
      </c>
      <c r="E17" s="3">
        <v>73</v>
      </c>
      <c r="F17" s="3">
        <v>32</v>
      </c>
      <c r="G17" s="3">
        <v>43.8</v>
      </c>
      <c r="H17" s="3">
        <v>9.1199999999999992</v>
      </c>
      <c r="I17" s="3">
        <v>4</v>
      </c>
      <c r="J17" s="3">
        <v>0.12</v>
      </c>
      <c r="K17" s="3">
        <v>0.28000000000000003</v>
      </c>
      <c r="L17" s="3">
        <v>1</v>
      </c>
      <c r="M17" s="3">
        <v>1</v>
      </c>
      <c r="N17" s="10">
        <f>Table1[[#This Row],[Gls]]/Table1[[#This Row],[90s]]</f>
        <v>1.25</v>
      </c>
    </row>
    <row r="18" spans="1:14" x14ac:dyDescent="0.25">
      <c r="A18" s="2" t="s">
        <v>27</v>
      </c>
      <c r="B18" s="3">
        <v>34</v>
      </c>
      <c r="C18" s="3">
        <v>8</v>
      </c>
      <c r="D18" s="3">
        <v>8</v>
      </c>
      <c r="E18" s="3">
        <v>78</v>
      </c>
      <c r="F18" s="3">
        <v>34</v>
      </c>
      <c r="G18" s="3">
        <v>43.6</v>
      </c>
      <c r="H18" s="3">
        <v>9.75</v>
      </c>
      <c r="I18" s="3">
        <v>4.25</v>
      </c>
      <c r="J18" s="3">
        <v>0.08</v>
      </c>
      <c r="K18" s="3">
        <v>0.18</v>
      </c>
      <c r="L18" s="3">
        <v>2</v>
      </c>
      <c r="M18" s="3">
        <v>2</v>
      </c>
      <c r="N18" s="10">
        <f>Table1[[#This Row],[Gls]]/Table1[[#This Row],[90s]]</f>
        <v>1</v>
      </c>
    </row>
    <row r="19" spans="1:14" x14ac:dyDescent="0.25">
      <c r="A19" s="2" t="s">
        <v>28</v>
      </c>
      <c r="B19" s="3">
        <v>30</v>
      </c>
      <c r="C19" s="3">
        <v>6</v>
      </c>
      <c r="D19" s="3">
        <v>15</v>
      </c>
      <c r="E19" s="3">
        <v>131</v>
      </c>
      <c r="F19" s="3">
        <v>46</v>
      </c>
      <c r="G19" s="3">
        <v>35.1</v>
      </c>
      <c r="H19" s="3">
        <v>21.83</v>
      </c>
      <c r="I19" s="3">
        <v>7.67</v>
      </c>
      <c r="J19" s="3">
        <v>0.1</v>
      </c>
      <c r="K19" s="3">
        <v>0.28000000000000003</v>
      </c>
      <c r="L19" s="3">
        <v>2</v>
      </c>
      <c r="M19" s="3">
        <v>2</v>
      </c>
      <c r="N19" s="10">
        <f>Table1[[#This Row],[Gls]]/Table1[[#This Row],[90s]]</f>
        <v>2.5</v>
      </c>
    </row>
    <row r="20" spans="1:14" x14ac:dyDescent="0.25">
      <c r="A20" s="2" t="s">
        <v>29</v>
      </c>
      <c r="B20" s="3">
        <v>25</v>
      </c>
      <c r="C20" s="3">
        <v>6</v>
      </c>
      <c r="D20" s="3">
        <v>7</v>
      </c>
      <c r="E20" s="3">
        <v>66</v>
      </c>
      <c r="F20" s="3">
        <v>18</v>
      </c>
      <c r="G20" s="3">
        <v>27.3</v>
      </c>
      <c r="H20" s="3">
        <v>11</v>
      </c>
      <c r="I20" s="3">
        <v>3</v>
      </c>
      <c r="J20" s="3">
        <v>0.11</v>
      </c>
      <c r="K20" s="3">
        <v>0.39</v>
      </c>
      <c r="L20" s="3">
        <v>0</v>
      </c>
      <c r="M20" s="3">
        <v>0</v>
      </c>
      <c r="N20" s="10">
        <f>Table1[[#This Row],[Gls]]/Table1[[#This Row],[90s]]</f>
        <v>1.1666666666666667</v>
      </c>
    </row>
    <row r="21" spans="1:14" x14ac:dyDescent="0.25">
      <c r="A21" s="1" t="s">
        <v>30</v>
      </c>
      <c r="B21" s="4">
        <v>30</v>
      </c>
      <c r="C21" s="4">
        <v>6</v>
      </c>
      <c r="D21" s="4">
        <v>16</v>
      </c>
      <c r="E21" s="4">
        <v>103</v>
      </c>
      <c r="F21" s="4">
        <v>37</v>
      </c>
      <c r="G21" s="4">
        <v>35.9</v>
      </c>
      <c r="H21" s="4">
        <v>17.170000000000002</v>
      </c>
      <c r="I21" s="4">
        <v>6.17</v>
      </c>
      <c r="J21" s="4">
        <v>0.15</v>
      </c>
      <c r="K21" s="4">
        <v>0.41</v>
      </c>
      <c r="L21" s="4">
        <v>1</v>
      </c>
      <c r="M21" s="4">
        <v>1</v>
      </c>
      <c r="N21" s="10">
        <f>Table1[[#This Row],[Gls]]/Table1[[#This Row],[90s]]</f>
        <v>2.6666666666666665</v>
      </c>
    </row>
    <row r="22" spans="1:14" x14ac:dyDescent="0.25">
      <c r="A22" s="2" t="s">
        <v>31</v>
      </c>
      <c r="B22" s="3">
        <v>32</v>
      </c>
      <c r="C22" s="3">
        <v>8</v>
      </c>
      <c r="D22" s="3">
        <v>3</v>
      </c>
      <c r="E22" s="3">
        <v>26</v>
      </c>
      <c r="F22" s="3">
        <v>6</v>
      </c>
      <c r="G22" s="3">
        <v>23.1</v>
      </c>
      <c r="H22" s="3">
        <v>3.25</v>
      </c>
      <c r="I22" s="3">
        <v>0.75</v>
      </c>
      <c r="J22" s="3">
        <v>0.12</v>
      </c>
      <c r="K22" s="3">
        <v>0.5</v>
      </c>
      <c r="L22" s="3">
        <v>0</v>
      </c>
      <c r="M22" s="3">
        <v>0</v>
      </c>
      <c r="N22" s="10">
        <f>Table1[[#This Row],[Gls]]/Table1[[#This Row],[90s]]</f>
        <v>0.375</v>
      </c>
    </row>
    <row r="23" spans="1:14" x14ac:dyDescent="0.25">
      <c r="A23" s="2" t="s">
        <v>32</v>
      </c>
      <c r="B23" s="3">
        <v>26</v>
      </c>
      <c r="C23" s="3">
        <v>6</v>
      </c>
      <c r="D23" s="3">
        <v>10</v>
      </c>
      <c r="E23" s="3">
        <v>95</v>
      </c>
      <c r="F23" s="3">
        <v>36</v>
      </c>
      <c r="G23" s="3">
        <v>37.9</v>
      </c>
      <c r="H23" s="3">
        <v>15.83</v>
      </c>
      <c r="I23" s="3">
        <v>6</v>
      </c>
      <c r="J23" s="3">
        <v>0.11</v>
      </c>
      <c r="K23" s="3">
        <v>0.28000000000000003</v>
      </c>
      <c r="L23" s="3">
        <v>0</v>
      </c>
      <c r="M23" s="3">
        <v>0</v>
      </c>
      <c r="N23" s="10">
        <f>Table1[[#This Row],[Gls]]/Table1[[#This Row],[90s]]</f>
        <v>1.6666666666666667</v>
      </c>
    </row>
    <row r="24" spans="1:14" x14ac:dyDescent="0.25">
      <c r="A24" s="2" t="s">
        <v>33</v>
      </c>
      <c r="B24" s="3">
        <v>23</v>
      </c>
      <c r="C24" s="3">
        <v>6</v>
      </c>
      <c r="D24" s="3">
        <v>11</v>
      </c>
      <c r="E24" s="3">
        <v>78</v>
      </c>
      <c r="F24" s="3">
        <v>29</v>
      </c>
      <c r="G24" s="3">
        <v>37.200000000000003</v>
      </c>
      <c r="H24" s="3">
        <v>13</v>
      </c>
      <c r="I24" s="3">
        <v>4.83</v>
      </c>
      <c r="J24" s="3">
        <v>0.14000000000000001</v>
      </c>
      <c r="K24" s="3">
        <v>0.38</v>
      </c>
      <c r="L24" s="3">
        <v>0</v>
      </c>
      <c r="M24" s="3">
        <v>0</v>
      </c>
      <c r="N24" s="10">
        <f>Table1[[#This Row],[Gls]]/Table1[[#This Row],[90s]]</f>
        <v>1.8333333333333333</v>
      </c>
    </row>
    <row r="25" spans="1:14" x14ac:dyDescent="0.25">
      <c r="A25" s="2" t="s">
        <v>34</v>
      </c>
      <c r="B25" s="3">
        <v>22</v>
      </c>
      <c r="C25" s="3">
        <v>6</v>
      </c>
      <c r="D25" s="3">
        <v>13</v>
      </c>
      <c r="E25" s="3">
        <v>61</v>
      </c>
      <c r="F25" s="3">
        <v>25</v>
      </c>
      <c r="G25" s="3">
        <v>41</v>
      </c>
      <c r="H25" s="3">
        <v>10.17</v>
      </c>
      <c r="I25" s="3">
        <v>4.17</v>
      </c>
      <c r="J25" s="3">
        <v>0.21</v>
      </c>
      <c r="K25" s="3">
        <v>0.52</v>
      </c>
      <c r="L25" s="3">
        <v>0</v>
      </c>
      <c r="M25" s="3">
        <v>0</v>
      </c>
      <c r="N25" s="10">
        <f>Table1[[#This Row],[Gls]]/Table1[[#This Row],[90s]]</f>
        <v>2.1666666666666665</v>
      </c>
    </row>
    <row r="26" spans="1:14" x14ac:dyDescent="0.25">
      <c r="A26" s="2" t="s">
        <v>35</v>
      </c>
      <c r="B26" s="3">
        <v>30</v>
      </c>
      <c r="C26" s="3">
        <v>8</v>
      </c>
      <c r="D26" s="3">
        <v>15</v>
      </c>
      <c r="E26" s="3">
        <v>120</v>
      </c>
      <c r="F26" s="3">
        <v>52</v>
      </c>
      <c r="G26" s="3">
        <v>43.3</v>
      </c>
      <c r="H26" s="3">
        <v>15</v>
      </c>
      <c r="I26" s="3">
        <v>6.5</v>
      </c>
      <c r="J26" s="3">
        <v>0.11</v>
      </c>
      <c r="K26" s="3">
        <v>0.25</v>
      </c>
      <c r="L26" s="3">
        <v>2</v>
      </c>
      <c r="M26" s="3">
        <v>2</v>
      </c>
      <c r="N26" s="10">
        <f>Table1[[#This Row],[Gls]]/Table1[[#This Row],[90s]]</f>
        <v>1.875</v>
      </c>
    </row>
    <row r="27" spans="1:14" x14ac:dyDescent="0.25">
      <c r="A27" s="2" t="s">
        <v>36</v>
      </c>
      <c r="B27" s="3">
        <v>34</v>
      </c>
      <c r="C27" s="3">
        <v>8</v>
      </c>
      <c r="D27" s="3">
        <v>21</v>
      </c>
      <c r="E27" s="3">
        <v>174</v>
      </c>
      <c r="F27" s="3">
        <v>56</v>
      </c>
      <c r="G27" s="3">
        <v>32.200000000000003</v>
      </c>
      <c r="H27" s="3">
        <v>21.75</v>
      </c>
      <c r="I27" s="3">
        <v>7</v>
      </c>
      <c r="J27" s="3">
        <v>0.11</v>
      </c>
      <c r="K27" s="3">
        <v>0.36</v>
      </c>
      <c r="L27" s="3">
        <v>1</v>
      </c>
      <c r="M27" s="3">
        <v>2</v>
      </c>
      <c r="N27" s="10">
        <f>Table1[[#This Row],[Gls]]/Table1[[#This Row],[90s]]</f>
        <v>2.625</v>
      </c>
    </row>
    <row r="28" spans="1:14" x14ac:dyDescent="0.25">
      <c r="A28" s="2" t="s">
        <v>37</v>
      </c>
      <c r="B28" s="3">
        <v>38</v>
      </c>
      <c r="C28" s="3">
        <v>8</v>
      </c>
      <c r="D28" s="3">
        <v>9</v>
      </c>
      <c r="E28" s="3">
        <v>106</v>
      </c>
      <c r="F28" s="3">
        <v>32</v>
      </c>
      <c r="G28" s="3">
        <v>30.2</v>
      </c>
      <c r="H28" s="3">
        <v>13.25</v>
      </c>
      <c r="I28" s="3">
        <v>4</v>
      </c>
      <c r="J28" s="3">
        <v>0.08</v>
      </c>
      <c r="K28" s="3">
        <v>0.25</v>
      </c>
      <c r="L28" s="3">
        <v>1</v>
      </c>
      <c r="M28" s="3">
        <v>1</v>
      </c>
      <c r="N28" s="10">
        <f>Table1[[#This Row],[Gls]]/Table1[[#This Row],[90s]]</f>
        <v>1.125</v>
      </c>
    </row>
    <row r="29" spans="1:14" x14ac:dyDescent="0.25">
      <c r="A29" s="2" t="s">
        <v>38</v>
      </c>
      <c r="B29" s="3">
        <v>26</v>
      </c>
      <c r="C29" s="3">
        <v>6</v>
      </c>
      <c r="D29" s="3">
        <v>5</v>
      </c>
      <c r="E29" s="3">
        <v>56</v>
      </c>
      <c r="F29" s="3">
        <v>20</v>
      </c>
      <c r="G29" s="3">
        <v>35.700000000000003</v>
      </c>
      <c r="H29" s="3">
        <v>9.33</v>
      </c>
      <c r="I29" s="3">
        <v>3.33</v>
      </c>
      <c r="J29" s="3">
        <v>0.09</v>
      </c>
      <c r="K29" s="3">
        <v>0.25</v>
      </c>
      <c r="L29" s="3">
        <v>0</v>
      </c>
      <c r="M29" s="3">
        <v>0</v>
      </c>
      <c r="N29" s="10">
        <f>Table1[[#This Row],[Gls]]/Table1[[#This Row],[90s]]</f>
        <v>0.83333333333333337</v>
      </c>
    </row>
    <row r="30" spans="1:14" x14ac:dyDescent="0.25">
      <c r="A30" s="2" t="s">
        <v>39</v>
      </c>
      <c r="B30" s="3">
        <v>27</v>
      </c>
      <c r="C30" s="3">
        <v>8</v>
      </c>
      <c r="D30" s="3">
        <v>5</v>
      </c>
      <c r="E30" s="3">
        <v>55</v>
      </c>
      <c r="F30" s="3">
        <v>18</v>
      </c>
      <c r="G30" s="3">
        <v>32.700000000000003</v>
      </c>
      <c r="H30" s="3">
        <v>6.87</v>
      </c>
      <c r="I30" s="3">
        <v>2.25</v>
      </c>
      <c r="J30" s="3">
        <v>7.0000000000000007E-2</v>
      </c>
      <c r="K30" s="3">
        <v>0.22</v>
      </c>
      <c r="L30" s="3">
        <v>1</v>
      </c>
      <c r="M30" s="3">
        <v>2</v>
      </c>
      <c r="N30" s="10">
        <f>Table1[[#This Row],[Gls]]/Table1[[#This Row],[90s]]</f>
        <v>0.625</v>
      </c>
    </row>
    <row r="31" spans="1:14" x14ac:dyDescent="0.25">
      <c r="A31" s="2" t="s">
        <v>40</v>
      </c>
      <c r="B31" s="3">
        <v>24</v>
      </c>
      <c r="C31" s="3">
        <v>8</v>
      </c>
      <c r="D31" s="3">
        <v>0</v>
      </c>
      <c r="E31" s="3">
        <v>19</v>
      </c>
      <c r="F31" s="3">
        <v>7</v>
      </c>
      <c r="G31" s="3">
        <v>36.799999999999997</v>
      </c>
      <c r="H31" s="3">
        <v>2.37</v>
      </c>
      <c r="I31" s="3">
        <v>0.87</v>
      </c>
      <c r="J31" s="3">
        <v>0</v>
      </c>
      <c r="K31" s="3">
        <v>0</v>
      </c>
      <c r="L31" s="3">
        <v>0</v>
      </c>
      <c r="M31" s="3">
        <v>0</v>
      </c>
      <c r="N31" s="10">
        <f>Table1[[#This Row],[Gls]]/Table1[[#This Row],[90s]]</f>
        <v>0</v>
      </c>
    </row>
    <row r="32" spans="1:14" x14ac:dyDescent="0.25">
      <c r="A32" s="2" t="s">
        <v>41</v>
      </c>
      <c r="B32" s="3">
        <v>34</v>
      </c>
      <c r="C32" s="3">
        <v>8</v>
      </c>
      <c r="D32" s="3">
        <v>6</v>
      </c>
      <c r="E32" s="3">
        <v>69</v>
      </c>
      <c r="F32" s="3">
        <v>22</v>
      </c>
      <c r="G32" s="3">
        <v>31.9</v>
      </c>
      <c r="H32" s="3">
        <v>8.6199999999999992</v>
      </c>
      <c r="I32" s="3">
        <v>2.75</v>
      </c>
      <c r="J32" s="3">
        <v>7.0000000000000007E-2</v>
      </c>
      <c r="K32" s="3">
        <v>0.23</v>
      </c>
      <c r="L32" s="3">
        <v>1</v>
      </c>
      <c r="M32" s="3">
        <v>1</v>
      </c>
      <c r="N32" s="10">
        <f>Table1[[#This Row],[Gls]]/Table1[[#This Row],[90s]]</f>
        <v>0.75</v>
      </c>
    </row>
    <row r="33" spans="1:14" x14ac:dyDescent="0.25">
      <c r="A33" s="2" t="s">
        <v>42</v>
      </c>
      <c r="B33" s="3">
        <v>25</v>
      </c>
      <c r="C33" s="3">
        <v>6</v>
      </c>
      <c r="D33" s="3">
        <v>1</v>
      </c>
      <c r="E33" s="3">
        <v>45</v>
      </c>
      <c r="F33" s="3">
        <v>14</v>
      </c>
      <c r="G33" s="3">
        <v>31.1</v>
      </c>
      <c r="H33" s="3">
        <v>7.5</v>
      </c>
      <c r="I33" s="3">
        <v>2.33</v>
      </c>
      <c r="J33" s="3">
        <v>0.02</v>
      </c>
      <c r="K33" s="3">
        <v>7.0000000000000007E-2</v>
      </c>
      <c r="L33" s="3">
        <v>0</v>
      </c>
      <c r="M33" s="3">
        <v>0</v>
      </c>
      <c r="N33" s="10">
        <f>Table1[[#This Row],[Gls]]/Table1[[#This Row],[90s]]</f>
        <v>0.16666666666666666</v>
      </c>
    </row>
    <row r="34" spans="1:14" x14ac:dyDescent="0.25">
      <c r="A34" s="2" t="s">
        <v>43</v>
      </c>
      <c r="B34" s="3">
        <v>30</v>
      </c>
      <c r="C34" s="3">
        <v>8</v>
      </c>
      <c r="D34" s="3">
        <v>4</v>
      </c>
      <c r="E34" s="3">
        <v>74</v>
      </c>
      <c r="F34" s="3">
        <v>24</v>
      </c>
      <c r="G34" s="3">
        <v>32.4</v>
      </c>
      <c r="H34" s="3">
        <v>9.25</v>
      </c>
      <c r="I34" s="3">
        <v>3</v>
      </c>
      <c r="J34" s="3">
        <v>0.04</v>
      </c>
      <c r="K34" s="3">
        <v>0.13</v>
      </c>
      <c r="L34" s="3">
        <v>1</v>
      </c>
      <c r="M34" s="3">
        <v>1</v>
      </c>
      <c r="N34" s="10">
        <f>Table1[[#This Row],[Gls]]/Table1[[#This Row],[90s]]</f>
        <v>0.5</v>
      </c>
    </row>
    <row r="35" spans="1:14" x14ac:dyDescent="0.25">
      <c r="A35" s="2" t="s">
        <v>44</v>
      </c>
      <c r="B35" s="3">
        <v>35</v>
      </c>
      <c r="C35" s="3">
        <v>8</v>
      </c>
      <c r="D35" s="3">
        <v>4</v>
      </c>
      <c r="E35" s="3">
        <v>78</v>
      </c>
      <c r="F35" s="3">
        <v>26</v>
      </c>
      <c r="G35" s="3">
        <v>33.299999999999997</v>
      </c>
      <c r="H35" s="3">
        <v>9.75</v>
      </c>
      <c r="I35" s="3">
        <v>3.25</v>
      </c>
      <c r="J35" s="3">
        <v>0.05</v>
      </c>
      <c r="K35" s="3">
        <v>0.15</v>
      </c>
      <c r="L35" s="3">
        <v>0</v>
      </c>
      <c r="M35" s="3">
        <v>0</v>
      </c>
      <c r="N35" s="10">
        <f>Table1[[#This Row],[Gls]]/Table1[[#This Row],[90s]]</f>
        <v>0.5</v>
      </c>
    </row>
    <row r="36" spans="1:14" x14ac:dyDescent="0.25">
      <c r="A36" s="2" t="s">
        <v>45</v>
      </c>
      <c r="B36" s="3">
        <v>34</v>
      </c>
      <c r="C36" s="3">
        <v>8</v>
      </c>
      <c r="D36" s="3">
        <v>8</v>
      </c>
      <c r="E36" s="3">
        <v>120</v>
      </c>
      <c r="F36" s="3">
        <v>40</v>
      </c>
      <c r="G36" s="3">
        <v>33.299999999999997</v>
      </c>
      <c r="H36" s="3">
        <v>15</v>
      </c>
      <c r="I36" s="3">
        <v>5</v>
      </c>
      <c r="J36" s="3">
        <v>0.06</v>
      </c>
      <c r="K36" s="3">
        <v>0.18</v>
      </c>
      <c r="L36" s="3">
        <v>1</v>
      </c>
      <c r="M36" s="3">
        <v>1</v>
      </c>
      <c r="N36" s="10">
        <f>Table1[[#This Row],[Gls]]/Table1[[#This Row],[90s]]</f>
        <v>1</v>
      </c>
    </row>
    <row r="37" spans="1:14" x14ac:dyDescent="0.25">
      <c r="A37" s="2" t="s">
        <v>61</v>
      </c>
      <c r="B37" s="3">
        <v>29</v>
      </c>
      <c r="C37" s="3">
        <v>8</v>
      </c>
      <c r="D37" s="3">
        <v>12</v>
      </c>
      <c r="E37" s="3">
        <v>88</v>
      </c>
      <c r="F37" s="3">
        <v>34</v>
      </c>
      <c r="G37" s="3">
        <v>38.6</v>
      </c>
      <c r="H37" s="3">
        <v>11</v>
      </c>
      <c r="I37" s="3">
        <v>4.25</v>
      </c>
      <c r="J37" s="3">
        <v>0.14000000000000001</v>
      </c>
      <c r="K37" s="3">
        <v>0.35</v>
      </c>
      <c r="L37" s="3">
        <v>0</v>
      </c>
      <c r="M37" s="3">
        <v>0</v>
      </c>
      <c r="N37" s="10">
        <f>Table1[[#This Row],[Gls]]/Table1[[#This Row],[90s]]</f>
        <v>1.5</v>
      </c>
    </row>
    <row r="38" spans="1:14" x14ac:dyDescent="0.25">
      <c r="A38" s="2" t="s">
        <v>46</v>
      </c>
      <c r="B38" s="3">
        <v>29</v>
      </c>
      <c r="C38" s="3">
        <v>8</v>
      </c>
      <c r="D38" s="3">
        <v>27</v>
      </c>
      <c r="E38" s="3">
        <v>139</v>
      </c>
      <c r="F38" s="3">
        <v>52</v>
      </c>
      <c r="G38" s="3">
        <v>37.4</v>
      </c>
      <c r="H38" s="3">
        <v>17.37</v>
      </c>
      <c r="I38" s="3">
        <v>6.5</v>
      </c>
      <c r="J38" s="3">
        <v>0.16</v>
      </c>
      <c r="K38" s="3">
        <v>0.42</v>
      </c>
      <c r="L38" s="3">
        <v>5</v>
      </c>
      <c r="M38" s="3">
        <v>5</v>
      </c>
      <c r="N38" s="10">
        <f>Table1[[#This Row],[Gls]]/Table1[[#This Row],[90s]]</f>
        <v>3.375</v>
      </c>
    </row>
    <row r="39" spans="1:14" x14ac:dyDescent="0.25">
      <c r="A39" s="2" t="s">
        <v>66</v>
      </c>
      <c r="B39" s="3">
        <v>27</v>
      </c>
      <c r="C39" s="3">
        <v>6</v>
      </c>
      <c r="D39" s="3">
        <v>6</v>
      </c>
      <c r="E39" s="3">
        <v>55</v>
      </c>
      <c r="F39" s="3">
        <v>19</v>
      </c>
      <c r="G39" s="3">
        <v>34.5</v>
      </c>
      <c r="H39" s="3">
        <v>9.17</v>
      </c>
      <c r="I39" s="3">
        <v>3.17</v>
      </c>
      <c r="J39" s="3">
        <v>0.09</v>
      </c>
      <c r="K39" s="3">
        <v>0.26</v>
      </c>
      <c r="L39" s="3">
        <v>1</v>
      </c>
      <c r="M39" s="3">
        <v>2</v>
      </c>
      <c r="N39" s="10">
        <f>Table1[[#This Row],[Gls]]/Table1[[#This Row],[90s]]</f>
        <v>1</v>
      </c>
    </row>
    <row r="40" spans="1:14" x14ac:dyDescent="0.25">
      <c r="A40" s="1" t="s">
        <v>47</v>
      </c>
      <c r="B40" s="4">
        <v>27</v>
      </c>
      <c r="C40" s="4">
        <v>8</v>
      </c>
      <c r="D40" s="4">
        <v>35</v>
      </c>
      <c r="E40" s="4">
        <v>155</v>
      </c>
      <c r="F40" s="4">
        <v>62</v>
      </c>
      <c r="G40" s="4">
        <v>40</v>
      </c>
      <c r="H40" s="4">
        <v>19.37</v>
      </c>
      <c r="I40" s="4">
        <v>7.75</v>
      </c>
      <c r="J40" s="4">
        <v>0.22</v>
      </c>
      <c r="K40" s="4">
        <v>0.55000000000000004</v>
      </c>
      <c r="L40" s="4">
        <v>1</v>
      </c>
      <c r="M40" s="4">
        <v>2</v>
      </c>
      <c r="N40" s="10">
        <f>Table1[[#This Row],[Gls]]/Table1[[#This Row],[90s]]</f>
        <v>4.375</v>
      </c>
    </row>
    <row r="41" spans="1:14" x14ac:dyDescent="0.25">
      <c r="A41" s="1" t="s">
        <v>48</v>
      </c>
      <c r="B41" s="4">
        <v>31</v>
      </c>
      <c r="C41" s="4">
        <v>8</v>
      </c>
      <c r="D41" s="4">
        <v>14</v>
      </c>
      <c r="E41" s="4">
        <v>138</v>
      </c>
      <c r="F41" s="4">
        <v>51</v>
      </c>
      <c r="G41" s="4">
        <v>37</v>
      </c>
      <c r="H41" s="4">
        <v>17.25</v>
      </c>
      <c r="I41" s="4">
        <v>6.37</v>
      </c>
      <c r="J41" s="4">
        <v>0.1</v>
      </c>
      <c r="K41" s="4">
        <v>0.27</v>
      </c>
      <c r="L41" s="4">
        <v>0</v>
      </c>
      <c r="M41" s="4">
        <v>0</v>
      </c>
      <c r="N41" s="10">
        <f>Table1[[#This Row],[Gls]]/Table1[[#This Row],[90s]]</f>
        <v>1.75</v>
      </c>
    </row>
    <row r="42" spans="1:14" x14ac:dyDescent="0.25">
      <c r="A42" s="1" t="s">
        <v>49</v>
      </c>
      <c r="B42" s="4">
        <v>26</v>
      </c>
      <c r="C42" s="4">
        <v>6</v>
      </c>
      <c r="D42" s="4">
        <v>20</v>
      </c>
      <c r="E42" s="4">
        <v>150</v>
      </c>
      <c r="F42" s="4">
        <v>50</v>
      </c>
      <c r="G42" s="4">
        <v>33.299999999999997</v>
      </c>
      <c r="H42" s="4">
        <v>25</v>
      </c>
      <c r="I42" s="4">
        <v>8.33</v>
      </c>
      <c r="J42" s="4">
        <v>0.11</v>
      </c>
      <c r="K42" s="4">
        <v>0.34</v>
      </c>
      <c r="L42" s="4">
        <v>3</v>
      </c>
      <c r="M42" s="4">
        <v>4</v>
      </c>
      <c r="N42" s="10">
        <f>Table1[[#This Row],[Gls]]/Table1[[#This Row],[90s]]</f>
        <v>3.3333333333333335</v>
      </c>
    </row>
    <row r="43" spans="1:14" x14ac:dyDescent="0.25">
      <c r="A43" s="1" t="s">
        <v>67</v>
      </c>
      <c r="B43" s="4">
        <v>27</v>
      </c>
      <c r="C43" s="4">
        <v>6</v>
      </c>
      <c r="D43" s="4">
        <v>9</v>
      </c>
      <c r="E43" s="4">
        <v>74</v>
      </c>
      <c r="F43" s="4">
        <v>27</v>
      </c>
      <c r="G43" s="4">
        <v>36.5</v>
      </c>
      <c r="H43" s="4">
        <v>12.33</v>
      </c>
      <c r="I43" s="4">
        <v>4.5</v>
      </c>
      <c r="J43" s="4">
        <v>0.11</v>
      </c>
      <c r="K43" s="4">
        <v>0.3</v>
      </c>
      <c r="L43" s="4">
        <v>1</v>
      </c>
      <c r="M43" s="4">
        <v>1</v>
      </c>
      <c r="N43" s="10">
        <f>Table1[[#This Row],[Gls]]/Table1[[#This Row],[90s]]</f>
        <v>1.5</v>
      </c>
    </row>
    <row r="44" spans="1:14" x14ac:dyDescent="0.25">
      <c r="A44" s="1" t="s">
        <v>50</v>
      </c>
      <c r="B44" s="4">
        <v>37</v>
      </c>
      <c r="C44" s="4">
        <v>8</v>
      </c>
      <c r="D44" s="4">
        <v>16</v>
      </c>
      <c r="E44" s="4">
        <v>114</v>
      </c>
      <c r="F44" s="4">
        <v>43</v>
      </c>
      <c r="G44" s="4">
        <v>37.700000000000003</v>
      </c>
      <c r="H44" s="4">
        <v>14.25</v>
      </c>
      <c r="I44" s="4">
        <v>5.37</v>
      </c>
      <c r="J44" s="4">
        <v>0.11</v>
      </c>
      <c r="K44" s="4">
        <v>0.3</v>
      </c>
      <c r="L44" s="4">
        <v>3</v>
      </c>
      <c r="M44" s="4">
        <v>3</v>
      </c>
      <c r="N44" s="10">
        <f>Table1[[#This Row],[Gls]]/Table1[[#This Row],[90s]]</f>
        <v>2</v>
      </c>
    </row>
    <row r="45" spans="1:14" x14ac:dyDescent="0.25">
      <c r="A45" s="1" t="s">
        <v>62</v>
      </c>
      <c r="B45" s="4">
        <v>28</v>
      </c>
      <c r="C45" s="4">
        <v>8</v>
      </c>
      <c r="D45" s="4">
        <v>2</v>
      </c>
      <c r="E45" s="4">
        <v>35</v>
      </c>
      <c r="F45" s="4">
        <v>8</v>
      </c>
      <c r="G45" s="4">
        <v>22.9</v>
      </c>
      <c r="H45" s="4">
        <v>4.37</v>
      </c>
      <c r="I45" s="4">
        <v>1</v>
      </c>
      <c r="J45" s="4">
        <v>0.06</v>
      </c>
      <c r="K45" s="4">
        <v>0.25</v>
      </c>
      <c r="L45" s="4">
        <v>0</v>
      </c>
      <c r="M45" s="4">
        <v>0</v>
      </c>
      <c r="N45" s="10">
        <f>Table1[[#This Row],[Gls]]/Table1[[#This Row],[90s]]</f>
        <v>0.25</v>
      </c>
    </row>
    <row r="46" spans="1:14" x14ac:dyDescent="0.25">
      <c r="A46" s="1" t="s">
        <v>51</v>
      </c>
      <c r="B46" s="4">
        <v>24</v>
      </c>
      <c r="C46" s="4">
        <v>6</v>
      </c>
      <c r="D46" s="4">
        <v>12</v>
      </c>
      <c r="E46" s="4">
        <v>67</v>
      </c>
      <c r="F46" s="4">
        <v>29</v>
      </c>
      <c r="G46" s="4">
        <v>43.3</v>
      </c>
      <c r="H46" s="4">
        <v>11.17</v>
      </c>
      <c r="I46" s="4">
        <v>4.83</v>
      </c>
      <c r="J46" s="4">
        <v>0.18</v>
      </c>
      <c r="K46" s="4">
        <v>0.41</v>
      </c>
      <c r="L46" s="4">
        <v>0</v>
      </c>
      <c r="M46" s="4">
        <v>0</v>
      </c>
      <c r="N46" s="10">
        <f>Table1[[#This Row],[Gls]]/Table1[[#This Row],[90s]]</f>
        <v>2</v>
      </c>
    </row>
    <row r="47" spans="1:14" x14ac:dyDescent="0.25">
      <c r="A47" s="1" t="s">
        <v>52</v>
      </c>
      <c r="B47" s="4">
        <v>37</v>
      </c>
      <c r="C47" s="4">
        <v>8</v>
      </c>
      <c r="D47" s="4">
        <v>8</v>
      </c>
      <c r="E47" s="4">
        <v>113</v>
      </c>
      <c r="F47" s="4">
        <v>34</v>
      </c>
      <c r="G47" s="4">
        <v>30.1</v>
      </c>
      <c r="H47" s="4">
        <v>14.12</v>
      </c>
      <c r="I47" s="4">
        <v>4.25</v>
      </c>
      <c r="J47" s="4">
        <v>0.05</v>
      </c>
      <c r="K47" s="4">
        <v>0.18</v>
      </c>
      <c r="L47" s="4">
        <v>2</v>
      </c>
      <c r="M47" s="4">
        <v>2</v>
      </c>
      <c r="N47" s="10">
        <f>Table1[[#This Row],[Gls]]/Table1[[#This Row],[90s]]</f>
        <v>1</v>
      </c>
    </row>
    <row r="48" spans="1:14" x14ac:dyDescent="0.25">
      <c r="A48" s="1" t="s">
        <v>53</v>
      </c>
      <c r="B48" s="4">
        <v>22</v>
      </c>
      <c r="C48" s="4">
        <v>6</v>
      </c>
      <c r="D48" s="4">
        <v>6</v>
      </c>
      <c r="E48" s="4">
        <v>56</v>
      </c>
      <c r="F48" s="4">
        <v>16</v>
      </c>
      <c r="G48" s="4">
        <v>28.6</v>
      </c>
      <c r="H48" s="4">
        <v>9.33</v>
      </c>
      <c r="I48" s="4">
        <v>2.67</v>
      </c>
      <c r="J48" s="4">
        <v>0.11</v>
      </c>
      <c r="K48" s="4">
        <v>0.38</v>
      </c>
      <c r="L48" s="4">
        <v>0</v>
      </c>
      <c r="M48" s="4">
        <v>0</v>
      </c>
      <c r="N48" s="10">
        <f>Table1[[#This Row],[Gls]]/Table1[[#This Row],[90s]]</f>
        <v>1</v>
      </c>
    </row>
    <row r="49" spans="1:14" x14ac:dyDescent="0.25">
      <c r="A49" s="1" t="s">
        <v>54</v>
      </c>
      <c r="B49" s="4">
        <v>24</v>
      </c>
      <c r="C49" s="4">
        <v>6</v>
      </c>
      <c r="D49" s="4">
        <v>3</v>
      </c>
      <c r="E49" s="4">
        <v>53</v>
      </c>
      <c r="F49" s="4">
        <v>12</v>
      </c>
      <c r="G49" s="4">
        <v>22.6</v>
      </c>
      <c r="H49" s="4">
        <v>8.83</v>
      </c>
      <c r="I49" s="4">
        <v>2</v>
      </c>
      <c r="J49" s="4">
        <v>0.06</v>
      </c>
      <c r="K49" s="4">
        <v>0.25</v>
      </c>
      <c r="L49" s="4">
        <v>0</v>
      </c>
      <c r="M49" s="4">
        <v>0</v>
      </c>
      <c r="N49" s="10">
        <f>Table1[[#This Row],[Gls]]/Table1[[#This Row],[90s]]</f>
        <v>0.5</v>
      </c>
    </row>
    <row r="50" spans="1:14" x14ac:dyDescent="0.25">
      <c r="A50" s="1" t="s">
        <v>55</v>
      </c>
      <c r="B50" s="4">
        <v>32</v>
      </c>
      <c r="C50" s="4">
        <v>6</v>
      </c>
      <c r="D50" s="4">
        <v>20</v>
      </c>
      <c r="E50" s="4">
        <v>137</v>
      </c>
      <c r="F50" s="4">
        <v>58</v>
      </c>
      <c r="G50" s="4">
        <v>42.3</v>
      </c>
      <c r="H50" s="4">
        <v>22.83</v>
      </c>
      <c r="I50" s="4">
        <v>9.67</v>
      </c>
      <c r="J50" s="4">
        <v>0.13</v>
      </c>
      <c r="K50" s="4">
        <v>0.31</v>
      </c>
      <c r="L50" s="4">
        <v>2</v>
      </c>
      <c r="M50" s="4">
        <v>3</v>
      </c>
      <c r="N50" s="10">
        <f>Table1[[#This Row],[Gls]]/Table1[[#This Row],[90s]]</f>
        <v>3.3333333333333335</v>
      </c>
    </row>
    <row r="51" spans="1:14" x14ac:dyDescent="0.25">
      <c r="A51" s="1" t="s">
        <v>56</v>
      </c>
      <c r="B51" s="4">
        <v>32</v>
      </c>
      <c r="C51" s="4">
        <v>6</v>
      </c>
      <c r="D51" s="4">
        <v>4</v>
      </c>
      <c r="E51" s="4">
        <v>56</v>
      </c>
      <c r="F51" s="4">
        <v>15</v>
      </c>
      <c r="G51" s="4">
        <v>26.8</v>
      </c>
      <c r="H51" s="4">
        <v>9.33</v>
      </c>
      <c r="I51" s="4">
        <v>2.5</v>
      </c>
      <c r="J51" s="4">
        <v>7.0000000000000007E-2</v>
      </c>
      <c r="K51" s="4">
        <v>0.27</v>
      </c>
      <c r="L51" s="4">
        <v>0</v>
      </c>
      <c r="M51" s="4">
        <v>0</v>
      </c>
      <c r="N51" s="10">
        <f>Table1[[#This Row],[Gls]]/Table1[[#This Row],[90s]]</f>
        <v>0.66666666666666663</v>
      </c>
    </row>
    <row r="52" spans="1:14" x14ac:dyDescent="0.25">
      <c r="A52" s="1" t="s">
        <v>57</v>
      </c>
      <c r="B52" s="4">
        <v>23</v>
      </c>
      <c r="C52" s="4">
        <v>6</v>
      </c>
      <c r="D52" s="4">
        <v>14</v>
      </c>
      <c r="E52" s="4">
        <v>65</v>
      </c>
      <c r="F52" s="4">
        <v>32</v>
      </c>
      <c r="G52" s="4">
        <v>49.2</v>
      </c>
      <c r="H52" s="4">
        <v>10.83</v>
      </c>
      <c r="I52" s="4">
        <v>5.33</v>
      </c>
      <c r="J52" s="4">
        <v>0.18</v>
      </c>
      <c r="K52" s="4">
        <v>0.38</v>
      </c>
      <c r="L52" s="4">
        <v>2</v>
      </c>
      <c r="M52" s="4">
        <v>2</v>
      </c>
      <c r="N52" s="10">
        <f>Table1[[#This Row],[Gls]]/Table1[[#This Row],[90s]]</f>
        <v>2.3333333333333335</v>
      </c>
    </row>
    <row r="53" spans="1:14" x14ac:dyDescent="0.25">
      <c r="A53" s="1" t="s">
        <v>58</v>
      </c>
      <c r="B53" s="4">
        <v>28</v>
      </c>
      <c r="C53" s="4">
        <v>6</v>
      </c>
      <c r="D53" s="4">
        <v>15</v>
      </c>
      <c r="E53" s="4">
        <v>77</v>
      </c>
      <c r="F53" s="4">
        <v>32</v>
      </c>
      <c r="G53" s="4">
        <v>41.6</v>
      </c>
      <c r="H53" s="4">
        <v>12.83</v>
      </c>
      <c r="I53" s="4">
        <v>5.33</v>
      </c>
      <c r="J53" s="4">
        <v>0.18</v>
      </c>
      <c r="K53" s="4">
        <v>0.44</v>
      </c>
      <c r="L53" s="4">
        <v>1</v>
      </c>
      <c r="M53" s="4">
        <v>1</v>
      </c>
      <c r="N53" s="10">
        <f>Table1[[#This Row],[Gls]]/Table1[[#This Row],[90s]]</f>
        <v>2.5</v>
      </c>
    </row>
    <row r="54" spans="1:14" x14ac:dyDescent="0.25">
      <c r="A54" s="1" t="s">
        <v>59</v>
      </c>
      <c r="B54" s="4">
        <v>28</v>
      </c>
      <c r="C54" s="4">
        <v>6</v>
      </c>
      <c r="D54" s="4">
        <v>10</v>
      </c>
      <c r="E54" s="4">
        <v>67</v>
      </c>
      <c r="F54" s="4">
        <v>27</v>
      </c>
      <c r="G54" s="4">
        <v>40.299999999999997</v>
      </c>
      <c r="H54" s="4">
        <v>11.17</v>
      </c>
      <c r="I54" s="4">
        <v>4.5</v>
      </c>
      <c r="J54" s="4">
        <v>0.15</v>
      </c>
      <c r="K54" s="4">
        <v>0.37</v>
      </c>
      <c r="L54" s="4">
        <v>0</v>
      </c>
      <c r="M54" s="4">
        <v>0</v>
      </c>
      <c r="N54" s="10">
        <f>Table1[[#This Row],[Gls]]/Table1[[#This Row],[90s]]</f>
        <v>1.6666666666666667</v>
      </c>
    </row>
    <row r="55" spans="1:14" x14ac:dyDescent="0.25">
      <c r="A55" s="1" t="s">
        <v>60</v>
      </c>
      <c r="B55" s="4">
        <v>27</v>
      </c>
      <c r="C55" s="4">
        <v>8</v>
      </c>
      <c r="D55" s="4">
        <v>21</v>
      </c>
      <c r="E55" s="4">
        <v>121</v>
      </c>
      <c r="F55" s="4">
        <v>57</v>
      </c>
      <c r="G55" s="4">
        <v>47.1</v>
      </c>
      <c r="H55" s="4">
        <v>15.12</v>
      </c>
      <c r="I55" s="4">
        <v>7.12</v>
      </c>
      <c r="J55" s="4">
        <v>0.15</v>
      </c>
      <c r="K55" s="4">
        <v>0.32</v>
      </c>
      <c r="L55" s="4">
        <v>3</v>
      </c>
      <c r="M55" s="4">
        <v>3</v>
      </c>
      <c r="N55" s="10">
        <f>Table1[[#This Row],[Gls]]/Table1[[#This Row],[90s]]</f>
        <v>2.625</v>
      </c>
    </row>
  </sheetData>
  <phoneticPr fontId="4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Debnath</dc:creator>
  <cp:lastModifiedBy>Aditya Debnath</cp:lastModifiedBy>
  <dcterms:created xsi:type="dcterms:W3CDTF">2026-01-25T05:51:29Z</dcterms:created>
  <dcterms:modified xsi:type="dcterms:W3CDTF">2026-01-27T18:01:56Z</dcterms:modified>
</cp:coreProperties>
</file>